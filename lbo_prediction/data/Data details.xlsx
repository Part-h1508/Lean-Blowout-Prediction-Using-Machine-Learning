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4" i="1" l="1"/>
  <c r="H5" i="1"/>
  <c r="H7" i="1"/>
  <c r="H8" i="1"/>
  <c r="H2" i="1"/>
  <c r="G3" i="1"/>
  <c r="H3" i="1" s="1"/>
  <c r="G4" i="1"/>
  <c r="G5" i="1"/>
  <c r="G6" i="1"/>
  <c r="H6" i="1" s="1"/>
  <c r="G7" i="1"/>
  <c r="G8" i="1"/>
  <c r="G9" i="1"/>
  <c r="H9" i="1" s="1"/>
  <c r="G10" i="1"/>
  <c r="H10" i="1" s="1"/>
  <c r="G11" i="1"/>
  <c r="H11" i="1" s="1"/>
  <c r="G2" i="1"/>
  <c r="E11" i="1"/>
  <c r="I11" i="1" s="1"/>
  <c r="J11" i="1" s="1"/>
  <c r="D3" i="1"/>
  <c r="D4" i="1"/>
  <c r="D5" i="1"/>
  <c r="E5" i="1" s="1"/>
  <c r="I5" i="1" s="1"/>
  <c r="J5" i="1" s="1"/>
  <c r="D6" i="1"/>
  <c r="E6" i="1" s="1"/>
  <c r="I6" i="1" s="1"/>
  <c r="J6" i="1" s="1"/>
  <c r="D7" i="1"/>
  <c r="E7" i="1" s="1"/>
  <c r="I7" i="1" s="1"/>
  <c r="J7" i="1" s="1"/>
  <c r="D8" i="1"/>
  <c r="D9" i="1"/>
  <c r="D10" i="1"/>
  <c r="E10" i="1" s="1"/>
  <c r="I10" i="1" s="1"/>
  <c r="J10" i="1" s="1"/>
  <c r="D11" i="1"/>
  <c r="D2" i="1"/>
  <c r="C3" i="1"/>
  <c r="E3" i="1" s="1"/>
  <c r="C4" i="1"/>
  <c r="E4" i="1" s="1"/>
  <c r="I4" i="1" s="1"/>
  <c r="J4" i="1" s="1"/>
  <c r="C5" i="1"/>
  <c r="C6" i="1"/>
  <c r="C7" i="1"/>
  <c r="C8" i="1"/>
  <c r="E8" i="1" s="1"/>
  <c r="I8" i="1" s="1"/>
  <c r="J8" i="1" s="1"/>
  <c r="C9" i="1"/>
  <c r="E9" i="1" s="1"/>
  <c r="C10" i="1"/>
  <c r="C11" i="1"/>
  <c r="C2" i="1"/>
  <c r="E2" i="1" s="1"/>
  <c r="I2" i="1" s="1"/>
  <c r="J2" i="1" s="1"/>
  <c r="I3" i="1" l="1"/>
  <c r="J3" i="1" s="1"/>
  <c r="I9" i="1"/>
  <c r="J9" i="1" s="1"/>
</calcChain>
</file>

<file path=xl/sharedStrings.xml><?xml version="1.0" encoding="utf-8"?>
<sst xmlns="http://schemas.openxmlformats.org/spreadsheetml/2006/main" count="10" uniqueCount="10">
  <si>
    <t>Fuel (SLPM)</t>
  </si>
  <si>
    <t>Air (SLPM)</t>
  </si>
  <si>
    <t>Air Density (Kg/m3)</t>
  </si>
  <si>
    <t>Fuel Density (Kg/m3)</t>
  </si>
  <si>
    <t>Air mass flow rate(kg/s)</t>
  </si>
  <si>
    <t>Flowrate (m3/s)</t>
  </si>
  <si>
    <t>Fuel flowrate (m3/s)</t>
  </si>
  <si>
    <t>Fuel Mass flowrate (kg/s)</t>
  </si>
  <si>
    <t>Equivalence ratio</t>
  </si>
  <si>
    <t>Fi/FI_LBO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</si>
</sst>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topLeftCell="F1" workbookViewId="0">
      <selection activeCell="N4" sqref="N4"/>
    </sheetView>
  </sheetViews>
  <sheetFormatPr defaultRowHeight="14.4" x14ac:dyDescent="0.3"/>
  <cols>
    <col min="1" max="1" width="11.44140625" bestFit="1" customWidth="1"/>
    <col min="2" max="2" width="10.109375" bestFit="1" customWidth="1"/>
    <col min="3" max="3" width="18.5546875" bestFit="1" customWidth="1"/>
    <col min="4" max="4" width="15.33203125" bestFit="1" customWidth="1"/>
    <col min="5" max="5" width="22.44140625" bestFit="1" customWidth="1"/>
    <col min="6" max="6" width="19.88671875" bestFit="1" customWidth="1"/>
    <col min="7" max="7" width="19.44140625" bestFit="1" customWidth="1"/>
    <col min="8" max="8" width="23.6640625" bestFit="1" customWidth="1"/>
    <col min="9" max="9" width="16.44140625" bestFit="1" customWidth="1"/>
    <col min="10" max="10" width="16.44140625" customWidth="1"/>
    <col min="11" max="11" width="12" bestFit="1" customWidth="1"/>
    <col min="12" max="12" width="15.5546875" bestFit="1" customWidth="1"/>
    <col min="13" max="13" width="13.6640625" bestFit="1" customWidth="1"/>
    <col min="14" max="14" width="1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>
        <v>2.2999999999999998</v>
      </c>
      <c r="B2">
        <v>65</v>
      </c>
      <c r="C2">
        <f>101325/(287*300)</f>
        <v>1.1768292682926829</v>
      </c>
      <c r="D2">
        <f>B2/(60000)</f>
        <v>1.0833333333333333E-3</v>
      </c>
      <c r="E2">
        <f>D2*C2</f>
        <v>1.2748983739837398E-3</v>
      </c>
      <c r="F2">
        <v>2.2919999999999998</v>
      </c>
      <c r="G2">
        <f>A2/(60000)</f>
        <v>3.8333333333333328E-5</v>
      </c>
      <c r="H2">
        <f>F2*G2</f>
        <v>8.7859999999999975E-5</v>
      </c>
      <c r="I2">
        <f>15.45/(E2/H2)</f>
        <v>1.0647413375846948</v>
      </c>
      <c r="J2">
        <f>I2/0.768979855</f>
        <v>1.3846153844754423</v>
      </c>
    </row>
    <row r="3" spans="1:14" x14ac:dyDescent="0.3">
      <c r="A3">
        <v>2.2999999999999998</v>
      </c>
      <c r="B3">
        <v>70</v>
      </c>
      <c r="C3">
        <f t="shared" ref="C3:C11" si="0">101325/(287*300)</f>
        <v>1.1768292682926829</v>
      </c>
      <c r="D3">
        <f t="shared" ref="D3:D11" si="1">B3/(60000)</f>
        <v>1.1666666666666668E-3</v>
      </c>
      <c r="E3">
        <f t="shared" ref="E3:E11" si="2">D3*C3</f>
        <v>1.3729674796747967E-3</v>
      </c>
      <c r="F3">
        <v>2.2919999999999998</v>
      </c>
      <c r="G3">
        <f t="shared" ref="G3:G11" si="3">A3/(60000)</f>
        <v>3.8333333333333328E-5</v>
      </c>
      <c r="H3">
        <f t="shared" ref="H3:H11" si="4">F3*G3</f>
        <v>8.7859999999999975E-5</v>
      </c>
      <c r="I3">
        <f t="shared" ref="I3:I11" si="5">15.45/(E3/H3)</f>
        <v>0.98868838490007371</v>
      </c>
      <c r="J3">
        <f t="shared" ref="J3:J11" si="6">I3/0.768979855</f>
        <v>1.2857142855843391</v>
      </c>
    </row>
    <row r="4" spans="1:14" x14ac:dyDescent="0.3">
      <c r="A4">
        <v>2.2999999999999998</v>
      </c>
      <c r="B4">
        <v>75</v>
      </c>
      <c r="C4">
        <f t="shared" si="0"/>
        <v>1.1768292682926829</v>
      </c>
      <c r="D4">
        <f t="shared" si="1"/>
        <v>1.25E-3</v>
      </c>
      <c r="E4">
        <f t="shared" si="2"/>
        <v>1.4710365853658537E-3</v>
      </c>
      <c r="F4">
        <v>2.2919999999999998</v>
      </c>
      <c r="G4">
        <f t="shared" si="3"/>
        <v>3.8333333333333328E-5</v>
      </c>
      <c r="H4">
        <f t="shared" si="4"/>
        <v>8.7859999999999975E-5</v>
      </c>
      <c r="I4">
        <f t="shared" si="5"/>
        <v>0.92277582590673546</v>
      </c>
      <c r="J4">
        <f t="shared" si="6"/>
        <v>1.1999999998787165</v>
      </c>
    </row>
    <row r="5" spans="1:14" x14ac:dyDescent="0.3">
      <c r="A5">
        <v>2.2999999999999998</v>
      </c>
      <c r="B5">
        <v>80</v>
      </c>
      <c r="C5">
        <f t="shared" si="0"/>
        <v>1.1768292682926829</v>
      </c>
      <c r="D5">
        <f t="shared" si="1"/>
        <v>1.3333333333333333E-3</v>
      </c>
      <c r="E5">
        <f t="shared" si="2"/>
        <v>1.5691056910569104E-3</v>
      </c>
      <c r="F5">
        <v>2.2919999999999998</v>
      </c>
      <c r="G5">
        <f t="shared" si="3"/>
        <v>3.8333333333333328E-5</v>
      </c>
      <c r="H5">
        <f t="shared" si="4"/>
        <v>8.7859999999999975E-5</v>
      </c>
      <c r="I5">
        <f t="shared" si="5"/>
        <v>0.86510233678756465</v>
      </c>
      <c r="J5">
        <f t="shared" si="6"/>
        <v>1.124999999886297</v>
      </c>
      <c r="M5" s="1"/>
      <c r="N5" s="1"/>
    </row>
    <row r="6" spans="1:14" x14ac:dyDescent="0.3">
      <c r="A6">
        <v>2.2999999999999998</v>
      </c>
      <c r="B6">
        <v>85</v>
      </c>
      <c r="C6">
        <f t="shared" si="0"/>
        <v>1.1768292682926829</v>
      </c>
      <c r="D6">
        <f t="shared" si="1"/>
        <v>1.4166666666666668E-3</v>
      </c>
      <c r="E6">
        <f t="shared" si="2"/>
        <v>1.6671747967479675E-3</v>
      </c>
      <c r="F6">
        <v>2.2919999999999998</v>
      </c>
      <c r="G6">
        <f t="shared" si="3"/>
        <v>3.8333333333333328E-5</v>
      </c>
      <c r="H6">
        <f t="shared" si="4"/>
        <v>8.7859999999999975E-5</v>
      </c>
      <c r="I6">
        <f t="shared" si="5"/>
        <v>0.81421396403535484</v>
      </c>
      <c r="J6">
        <f t="shared" si="6"/>
        <v>1.0588235293047499</v>
      </c>
      <c r="M6" s="1"/>
      <c r="N6" s="1"/>
    </row>
    <row r="7" spans="1:14" x14ac:dyDescent="0.3">
      <c r="A7">
        <v>2.2999999999999998</v>
      </c>
      <c r="B7">
        <v>86</v>
      </c>
      <c r="C7">
        <f t="shared" si="0"/>
        <v>1.1768292682926829</v>
      </c>
      <c r="D7">
        <f t="shared" si="1"/>
        <v>1.4333333333333333E-3</v>
      </c>
      <c r="E7">
        <f t="shared" si="2"/>
        <v>1.6867886178861787E-3</v>
      </c>
      <c r="F7">
        <v>2.2919999999999998</v>
      </c>
      <c r="G7">
        <f t="shared" si="3"/>
        <v>3.8333333333333328E-5</v>
      </c>
      <c r="H7">
        <f t="shared" si="4"/>
        <v>8.7859999999999975E-5</v>
      </c>
      <c r="I7">
        <f t="shared" si="5"/>
        <v>0.80474635980238562</v>
      </c>
      <c r="J7">
        <f t="shared" si="6"/>
        <v>1.0465116278012063</v>
      </c>
      <c r="M7" s="1"/>
      <c r="N7" s="1"/>
    </row>
    <row r="8" spans="1:14" x14ac:dyDescent="0.3">
      <c r="A8">
        <v>2.2999999999999998</v>
      </c>
      <c r="B8">
        <v>87</v>
      </c>
      <c r="C8">
        <f t="shared" si="0"/>
        <v>1.1768292682926829</v>
      </c>
      <c r="D8">
        <f t="shared" si="1"/>
        <v>1.4499999999999999E-3</v>
      </c>
      <c r="E8">
        <f t="shared" si="2"/>
        <v>1.7064024390243901E-3</v>
      </c>
      <c r="F8">
        <v>2.2919999999999998</v>
      </c>
      <c r="G8">
        <f t="shared" si="3"/>
        <v>3.8333333333333328E-5</v>
      </c>
      <c r="H8">
        <f t="shared" si="4"/>
        <v>8.7859999999999975E-5</v>
      </c>
      <c r="I8">
        <f t="shared" si="5"/>
        <v>0.79549640164373758</v>
      </c>
      <c r="J8">
        <f t="shared" si="6"/>
        <v>1.0344827585161351</v>
      </c>
      <c r="M8" s="1"/>
      <c r="N8" s="1"/>
    </row>
    <row r="9" spans="1:14" x14ac:dyDescent="0.3">
      <c r="A9">
        <v>2.2999999999999998</v>
      </c>
      <c r="B9">
        <v>88</v>
      </c>
      <c r="C9">
        <f t="shared" si="0"/>
        <v>1.1768292682926829</v>
      </c>
      <c r="D9">
        <f t="shared" si="1"/>
        <v>1.4666666666666667E-3</v>
      </c>
      <c r="E9">
        <f t="shared" si="2"/>
        <v>1.7260162601626015E-3</v>
      </c>
      <c r="F9">
        <v>2.2919999999999998</v>
      </c>
      <c r="G9">
        <f t="shared" si="3"/>
        <v>3.8333333333333328E-5</v>
      </c>
      <c r="H9">
        <f t="shared" si="4"/>
        <v>8.7859999999999975E-5</v>
      </c>
      <c r="I9">
        <f t="shared" si="5"/>
        <v>0.7864566698068769</v>
      </c>
      <c r="J9">
        <f t="shared" si="6"/>
        <v>1.0227272726239063</v>
      </c>
      <c r="M9" s="1"/>
      <c r="N9" s="1"/>
    </row>
    <row r="10" spans="1:14" x14ac:dyDescent="0.3">
      <c r="A10">
        <v>2.2999999999999998</v>
      </c>
      <c r="B10">
        <v>89</v>
      </c>
      <c r="C10">
        <f t="shared" si="0"/>
        <v>1.1768292682926829</v>
      </c>
      <c r="D10">
        <f t="shared" si="1"/>
        <v>1.4833333333333332E-3</v>
      </c>
      <c r="E10">
        <f t="shared" si="2"/>
        <v>1.7456300813008128E-3</v>
      </c>
      <c r="F10">
        <v>2.2919999999999998</v>
      </c>
      <c r="G10">
        <f t="shared" si="3"/>
        <v>3.8333333333333328E-5</v>
      </c>
      <c r="H10">
        <f t="shared" si="4"/>
        <v>8.7859999999999975E-5</v>
      </c>
      <c r="I10">
        <f t="shared" si="5"/>
        <v>0.77762007801129407</v>
      </c>
      <c r="J10">
        <f t="shared" si="6"/>
        <v>1.0112359549539749</v>
      </c>
      <c r="M10" s="1"/>
      <c r="N10" s="1"/>
    </row>
    <row r="11" spans="1:14" x14ac:dyDescent="0.3">
      <c r="A11">
        <v>2.2999999999999998</v>
      </c>
      <c r="B11">
        <v>90</v>
      </c>
      <c r="C11">
        <f t="shared" si="0"/>
        <v>1.1768292682926829</v>
      </c>
      <c r="D11">
        <f t="shared" si="1"/>
        <v>1.5E-3</v>
      </c>
      <c r="E11">
        <f t="shared" si="2"/>
        <v>1.7652439024390242E-3</v>
      </c>
      <c r="F11">
        <v>2.2919999999999998</v>
      </c>
      <c r="G11">
        <f t="shared" si="3"/>
        <v>3.8333333333333328E-5</v>
      </c>
      <c r="H11">
        <f t="shared" si="4"/>
        <v>8.7859999999999975E-5</v>
      </c>
      <c r="I11">
        <f t="shared" si="5"/>
        <v>0.7689798549222796</v>
      </c>
      <c r="J11">
        <f t="shared" si="6"/>
        <v>0.99999999989893051</v>
      </c>
      <c r="M11" s="1"/>
      <c r="N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2026-02-13T11:15:07Z</dcterms:modified>
</cp:coreProperties>
</file>